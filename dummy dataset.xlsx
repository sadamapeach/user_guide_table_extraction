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SP-OKTAV\Downloads\user_guide\"/>
    </mc:Choice>
  </mc:AlternateContent>
  <bookViews>
    <workbookView xWindow="0" yWindow="0" windowWidth="14380" windowHeight="4100"/>
  </bookViews>
  <sheets>
    <sheet name="Vendor A" sheetId="1" r:id="rId1"/>
    <sheet name="Vendor B" sheetId="3" r:id="rId2"/>
    <sheet name="Vendor C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3" l="1"/>
  <c r="H6" i="3"/>
  <c r="I6" i="3"/>
  <c r="G7" i="3"/>
  <c r="H7" i="3"/>
  <c r="I7" i="3"/>
  <c r="H5" i="3"/>
  <c r="I5" i="3"/>
  <c r="G5" i="3"/>
  <c r="B6" i="3"/>
  <c r="C6" i="3"/>
  <c r="D6" i="3"/>
  <c r="B7" i="3"/>
  <c r="C7" i="3"/>
  <c r="D7" i="3"/>
  <c r="C5" i="3"/>
  <c r="D5" i="3"/>
  <c r="B5" i="3"/>
  <c r="D14" i="2"/>
  <c r="E14" i="2"/>
  <c r="F14" i="2"/>
  <c r="D15" i="2"/>
  <c r="E15" i="2"/>
  <c r="F15" i="2"/>
  <c r="E13" i="2"/>
  <c r="F13" i="2"/>
  <c r="D13" i="2"/>
  <c r="D9" i="2"/>
  <c r="E9" i="2"/>
  <c r="F9" i="2"/>
  <c r="D10" i="2"/>
  <c r="E10" i="2"/>
  <c r="F10" i="2"/>
  <c r="E8" i="2"/>
  <c r="F8" i="2"/>
  <c r="D8" i="2"/>
  <c r="B5" i="2"/>
  <c r="A2" i="3"/>
</calcChain>
</file>

<file path=xl/sharedStrings.xml><?xml version="1.0" encoding="utf-8"?>
<sst xmlns="http://schemas.openxmlformats.org/spreadsheetml/2006/main" count="45" uniqueCount="9">
  <si>
    <t>TOTAL TCO-3Y (IDR)</t>
  </si>
  <si>
    <t>SCOPE TOTAL PRICE (IDR)</t>
  </si>
  <si>
    <t>MBTS</t>
  </si>
  <si>
    <t>Antenna</t>
  </si>
  <si>
    <t>Dismantle</t>
  </si>
  <si>
    <t xml:space="preserve">REGION 1 </t>
  </si>
  <si>
    <t>REGION 2</t>
  </si>
  <si>
    <t>REGION 3</t>
  </si>
  <si>
    <t>SCOPE UNIT PRICE (IDR)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</si>
</sst>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2" fillId="0" borderId="1" xfId="0" applyFont="1" applyBorder="1" applyAlignment="1">
      <alignment horizontal="center" vertical="center"/>
    </xf>
    <xf numFmtId="43" fontId="0" fillId="0" borderId="1" xfId="1" applyFont="1" applyBorder="1"/>
    <xf numFmtId="0" fontId="0" fillId="0" borderId="1" xfId="0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5"/>
  <sheetViews>
    <sheetView tabSelected="1" workbookViewId="0">
      <selection activeCell="G13" sqref="G13"/>
    </sheetView>
  </sheetViews>
  <sheetFormatPr defaultRowHeight="14.5" x14ac:dyDescent="0.35"/>
  <cols>
    <col min="1" max="1" width="4.90625" customWidth="1"/>
    <col min="2" max="2" width="22.08984375" bestFit="1" customWidth="1"/>
    <col min="3" max="5" width="14.7265625" bestFit="1" customWidth="1"/>
  </cols>
  <sheetData>
    <row r="2" spans="2:5" x14ac:dyDescent="0.35">
      <c r="B2" s="1" t="s">
        <v>0</v>
      </c>
    </row>
    <row r="3" spans="2:5" x14ac:dyDescent="0.35">
      <c r="B3" s="2">
        <v>28730663322</v>
      </c>
    </row>
    <row r="6" spans="2:5" x14ac:dyDescent="0.35">
      <c r="B6" s="3" t="s">
        <v>1</v>
      </c>
      <c r="C6" s="3" t="s">
        <v>5</v>
      </c>
      <c r="D6" s="3" t="s">
        <v>6</v>
      </c>
      <c r="E6" s="3" t="s">
        <v>7</v>
      </c>
    </row>
    <row r="7" spans="2:5" x14ac:dyDescent="0.35">
      <c r="B7" s="3" t="s">
        <v>2</v>
      </c>
      <c r="C7" s="2">
        <v>409430384</v>
      </c>
      <c r="D7" s="2">
        <v>304257617</v>
      </c>
      <c r="E7" s="2">
        <v>308158138</v>
      </c>
    </row>
    <row r="8" spans="2:5" x14ac:dyDescent="0.35">
      <c r="B8" s="3" t="s">
        <v>3</v>
      </c>
      <c r="C8" s="2">
        <v>690316079</v>
      </c>
      <c r="D8" s="2">
        <v>550101213</v>
      </c>
      <c r="E8" s="2">
        <v>750007446</v>
      </c>
    </row>
    <row r="9" spans="2:5" x14ac:dyDescent="0.35">
      <c r="B9" s="3" t="s">
        <v>4</v>
      </c>
      <c r="C9" s="2">
        <v>257232156</v>
      </c>
      <c r="D9" s="2">
        <v>356151507</v>
      </c>
      <c r="E9" s="2">
        <v>280875551</v>
      </c>
    </row>
    <row r="12" spans="2:5" x14ac:dyDescent="0.35">
      <c r="B12" s="3" t="s">
        <v>8</v>
      </c>
      <c r="C12" s="3" t="s">
        <v>5</v>
      </c>
      <c r="D12" s="3" t="s">
        <v>6</v>
      </c>
      <c r="E12" s="3" t="s">
        <v>7</v>
      </c>
    </row>
    <row r="13" spans="2:5" x14ac:dyDescent="0.35">
      <c r="B13" s="3" t="s">
        <v>2</v>
      </c>
      <c r="C13" s="2">
        <v>81886077</v>
      </c>
      <c r="D13" s="2">
        <v>76064404</v>
      </c>
      <c r="E13" s="2">
        <v>77039534</v>
      </c>
    </row>
    <row r="14" spans="2:5" x14ac:dyDescent="0.35">
      <c r="B14" s="3" t="s">
        <v>3</v>
      </c>
      <c r="C14" s="2">
        <v>25567262</v>
      </c>
      <c r="D14" s="2">
        <v>23917444</v>
      </c>
      <c r="E14" s="2">
        <v>24193789</v>
      </c>
    </row>
    <row r="15" spans="2:5" x14ac:dyDescent="0.35">
      <c r="B15" s="3" t="s">
        <v>4</v>
      </c>
      <c r="C15" s="2">
        <v>46381607</v>
      </c>
      <c r="D15" s="2">
        <v>43470771</v>
      </c>
      <c r="E15" s="2">
        <v>43958336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H15" sqref="H15"/>
    </sheetView>
  </sheetViews>
  <sheetFormatPr defaultRowHeight="14.5" x14ac:dyDescent="0.35"/>
  <cols>
    <col min="1" max="1" width="30.7265625" customWidth="1"/>
    <col min="2" max="4" width="14.7265625" bestFit="1" customWidth="1"/>
    <col min="6" max="6" width="20.7265625" bestFit="1" customWidth="1"/>
    <col min="7" max="9" width="13.7265625" bestFit="1" customWidth="1"/>
  </cols>
  <sheetData>
    <row r="1" spans="1:9" x14ac:dyDescent="0.35">
      <c r="A1" s="1" t="s">
        <v>0</v>
      </c>
    </row>
    <row r="2" spans="1:9" x14ac:dyDescent="0.35">
      <c r="A2" s="2">
        <f>'Vendor A'!B3*1.1</f>
        <v>31603729654.200001</v>
      </c>
    </row>
    <row r="4" spans="1:9" x14ac:dyDescent="0.35">
      <c r="A4" s="3" t="s">
        <v>1</v>
      </c>
      <c r="B4" s="3" t="s">
        <v>5</v>
      </c>
      <c r="C4" s="3" t="s">
        <v>6</v>
      </c>
      <c r="D4" s="3" t="s">
        <v>7</v>
      </c>
      <c r="F4" s="3" t="s">
        <v>8</v>
      </c>
      <c r="G4" s="3" t="s">
        <v>5</v>
      </c>
      <c r="H4" s="3" t="s">
        <v>6</v>
      </c>
      <c r="I4" s="3" t="s">
        <v>7</v>
      </c>
    </row>
    <row r="5" spans="1:9" x14ac:dyDescent="0.35">
      <c r="A5" s="3" t="s">
        <v>2</v>
      </c>
      <c r="B5" s="2">
        <f>'Vendor A'!C7*1.1</f>
        <v>450373422.40000004</v>
      </c>
      <c r="C5" s="2">
        <f>'Vendor A'!D7*1.1</f>
        <v>334683378.70000005</v>
      </c>
      <c r="D5" s="2">
        <f>'Vendor A'!E7*1.1</f>
        <v>338973951.80000001</v>
      </c>
      <c r="F5" s="3" t="s">
        <v>2</v>
      </c>
      <c r="G5" s="2">
        <f>'Vendor A'!C13*1.1</f>
        <v>90074684.700000003</v>
      </c>
      <c r="H5" s="2">
        <f>'Vendor A'!D13*1.1</f>
        <v>83670844.400000006</v>
      </c>
      <c r="I5" s="2">
        <f>'Vendor A'!E13*1.1</f>
        <v>84743487.400000006</v>
      </c>
    </row>
    <row r="6" spans="1:9" x14ac:dyDescent="0.35">
      <c r="A6" s="3" t="s">
        <v>3</v>
      </c>
      <c r="B6" s="2">
        <f>'Vendor A'!C8*1.1</f>
        <v>759347686.9000001</v>
      </c>
      <c r="C6" s="2">
        <f>'Vendor A'!D8*1.1</f>
        <v>605111334.30000007</v>
      </c>
      <c r="D6" s="2">
        <f>'Vendor A'!E8*1.1</f>
        <v>825008190.60000002</v>
      </c>
      <c r="F6" s="3" t="s">
        <v>3</v>
      </c>
      <c r="G6" s="2">
        <f>'Vendor A'!C14*1.1</f>
        <v>28123988.200000003</v>
      </c>
      <c r="H6" s="2">
        <f>'Vendor A'!D14*1.1</f>
        <v>26309188.400000002</v>
      </c>
      <c r="I6" s="2">
        <f>'Vendor A'!E14*1.1</f>
        <v>26613167.900000002</v>
      </c>
    </row>
    <row r="7" spans="1:9" x14ac:dyDescent="0.35">
      <c r="A7" s="3" t="s">
        <v>4</v>
      </c>
      <c r="B7" s="2">
        <f>'Vendor A'!C9*1.1</f>
        <v>282955371.60000002</v>
      </c>
      <c r="C7" s="2">
        <f>'Vendor A'!D9*1.1</f>
        <v>391766657.70000005</v>
      </c>
      <c r="D7" s="2">
        <f>'Vendor A'!E9*1.1</f>
        <v>308963106.10000002</v>
      </c>
      <c r="F7" s="3" t="s">
        <v>4</v>
      </c>
      <c r="G7" s="2">
        <f>'Vendor A'!C15*1.1</f>
        <v>51019767.700000003</v>
      </c>
      <c r="H7" s="2">
        <f>'Vendor A'!D15*1.1</f>
        <v>47817848.100000001</v>
      </c>
      <c r="I7" s="2">
        <f>'Vendor A'!E15*1.1</f>
        <v>48354169.600000001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F15"/>
  <sheetViews>
    <sheetView workbookViewId="0">
      <selection activeCell="D3" sqref="D3"/>
    </sheetView>
  </sheetViews>
  <sheetFormatPr defaultRowHeight="14.5" x14ac:dyDescent="0.35"/>
  <cols>
    <col min="2" max="2" width="17.54296875" bestFit="1" customWidth="1"/>
    <col min="3" max="3" width="22.08984375" bestFit="1" customWidth="1"/>
    <col min="4" max="6" width="14.7265625" bestFit="1" customWidth="1"/>
  </cols>
  <sheetData>
    <row r="4" spans="2:6" x14ac:dyDescent="0.35">
      <c r="B4" s="1" t="s">
        <v>0</v>
      </c>
    </row>
    <row r="5" spans="2:6" x14ac:dyDescent="0.35">
      <c r="B5" s="2">
        <f>'Vendor A'!B3*1.05</f>
        <v>30167196488.100002</v>
      </c>
    </row>
    <row r="7" spans="2:6" x14ac:dyDescent="0.35">
      <c r="C7" s="3" t="s">
        <v>1</v>
      </c>
      <c r="D7" s="3" t="s">
        <v>5</v>
      </c>
      <c r="E7" s="3" t="s">
        <v>6</v>
      </c>
      <c r="F7" s="3" t="s">
        <v>7</v>
      </c>
    </row>
    <row r="8" spans="2:6" x14ac:dyDescent="0.35">
      <c r="C8" s="3" t="s">
        <v>2</v>
      </c>
      <c r="D8" s="2">
        <f>'Vendor A'!C7*1.05</f>
        <v>429901903.20000005</v>
      </c>
      <c r="E8" s="2">
        <f>'Vendor A'!D7*1.05</f>
        <v>319470497.85000002</v>
      </c>
      <c r="F8" s="2">
        <f>'Vendor A'!E7*1.05</f>
        <v>323566044.90000004</v>
      </c>
    </row>
    <row r="9" spans="2:6" x14ac:dyDescent="0.35">
      <c r="C9" s="3" t="s">
        <v>3</v>
      </c>
      <c r="D9" s="2">
        <f>'Vendor A'!C8*1.05</f>
        <v>724831882.95000005</v>
      </c>
      <c r="E9" s="2">
        <f>'Vendor A'!D8*1.05</f>
        <v>577606273.64999998</v>
      </c>
      <c r="F9" s="2">
        <f>'Vendor A'!E8*1.05</f>
        <v>787507818.30000007</v>
      </c>
    </row>
    <row r="10" spans="2:6" x14ac:dyDescent="0.35">
      <c r="C10" s="3" t="s">
        <v>4</v>
      </c>
      <c r="D10" s="2">
        <f>'Vendor A'!C9*1.05</f>
        <v>270093763.80000001</v>
      </c>
      <c r="E10" s="2">
        <f>'Vendor A'!D9*1.05</f>
        <v>373959082.35000002</v>
      </c>
      <c r="F10" s="2">
        <f>'Vendor A'!E9*1.05</f>
        <v>294919328.55000001</v>
      </c>
    </row>
    <row r="12" spans="2:6" x14ac:dyDescent="0.35">
      <c r="C12" s="3" t="s">
        <v>8</v>
      </c>
      <c r="D12" s="3" t="s">
        <v>5</v>
      </c>
      <c r="E12" s="3" t="s">
        <v>6</v>
      </c>
      <c r="F12" s="3" t="s">
        <v>7</v>
      </c>
    </row>
    <row r="13" spans="2:6" x14ac:dyDescent="0.35">
      <c r="C13" s="3" t="s">
        <v>2</v>
      </c>
      <c r="D13" s="2">
        <f>'Vendor A'!C13*1.05</f>
        <v>85980380.850000009</v>
      </c>
      <c r="E13" s="2">
        <f>'Vendor A'!D13*1.05</f>
        <v>79867624.200000003</v>
      </c>
      <c r="F13" s="2">
        <f>'Vendor A'!E13*1.05</f>
        <v>80891510.700000003</v>
      </c>
    </row>
    <row r="14" spans="2:6" x14ac:dyDescent="0.35">
      <c r="C14" s="3" t="s">
        <v>3</v>
      </c>
      <c r="D14" s="2">
        <f>'Vendor A'!C14*1.05</f>
        <v>26845625.100000001</v>
      </c>
      <c r="E14" s="2">
        <f>'Vendor A'!D14*1.05</f>
        <v>25113316.199999999</v>
      </c>
      <c r="F14" s="2">
        <f>'Vendor A'!E14*1.05</f>
        <v>25403478.449999999</v>
      </c>
    </row>
    <row r="15" spans="2:6" x14ac:dyDescent="0.35">
      <c r="C15" s="3" t="s">
        <v>4</v>
      </c>
      <c r="D15" s="2">
        <f>'Vendor A'!C15*1.05</f>
        <v>48700687.350000001</v>
      </c>
      <c r="E15" s="2">
        <f>'Vendor A'!D15*1.05</f>
        <v>45644309.550000004</v>
      </c>
      <c r="F15" s="2">
        <f>'Vendor A'!E15*1.05</f>
        <v>46156252.800000004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Vendor A</vt:lpstr>
      <vt:lpstr>Vendor B</vt:lpstr>
      <vt:lpstr>Vendor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Oktaviana Sadama Nur Azizah</dc:creator>
  <cp:lastModifiedBy>Oktaviana Sadama Nur Azizah</cp:lastModifiedBy>
  <dcterms:created xsi:type="dcterms:W3CDTF">2025-12-04T08:10:28Z</dcterms:created>
  <dcterms:modified xsi:type="dcterms:W3CDTF">2025-12-10T07:21:35Z</dcterms:modified>
</cp:coreProperties>
</file>